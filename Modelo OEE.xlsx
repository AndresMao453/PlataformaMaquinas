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7591" windowHeight="6451"/>
  </bookViews>
  <sheets>
    <sheet name="Por hor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Federico Velasco</author>
  </authors>
  <commentList>
    <comment ref="I3" authorId="0">
      <text>
        <r>
          <rPr>
            <b/>
            <sz val="10"/>
            <color rgb="FF000000"/>
            <rFont val="Tahoma"/>
            <charset val="134"/>
          </rPr>
          <t>Federico Velasco:</t>
        </r>
        <r>
          <rPr>
            <sz val="10"/>
            <color rgb="FF000000"/>
            <rFont val="Tahoma"/>
            <charset val="134"/>
          </rPr>
          <t xml:space="preserve">
Unidades descartadas independiente de que luego sea aprobada en una fase posterior.
</t>
        </r>
      </text>
    </comment>
    <comment ref="K3" authorId="0">
      <text>
        <r>
          <rPr>
            <b/>
            <sz val="10"/>
            <color rgb="FF000000"/>
            <rFont val="Tahoma"/>
            <charset val="134"/>
          </rPr>
          <t>Federico Velasco:</t>
        </r>
        <r>
          <rPr>
            <sz val="10"/>
            <color rgb="FF000000"/>
            <rFont val="Tahoma"/>
            <charset val="134"/>
          </rPr>
          <t xml:space="preserve">
Tiempo pagado para atender la demanda.
Es igual al tiempo disponible. incluye paradas programadas (mantetimientos, etc)
</t>
        </r>
      </text>
    </comment>
    <comment ref="L3" authorId="0">
      <text>
        <r>
          <rPr>
            <b/>
            <sz val="10"/>
            <color rgb="FF000000"/>
            <rFont val="Tahoma"/>
            <charset val="134"/>
          </rPr>
          <t>Federico Velasco:</t>
        </r>
        <r>
          <rPr>
            <sz val="10"/>
            <color rgb="FF000000"/>
            <rFont val="Tahoma"/>
            <charset val="134"/>
          </rPr>
          <t xml:space="preserve">
Toda interrupcion de la produccion. incluye mto correctivo, programado, todo suceso durante el tiempo pagado (daño, descanso, pausas, falta materiales, etc)</t>
        </r>
      </text>
    </comment>
    <comment ref="N3" authorId="0">
      <text>
        <r>
          <rPr>
            <b/>
            <sz val="10"/>
            <color rgb="FF000000"/>
            <rFont val="Tahoma"/>
            <charset val="134"/>
          </rPr>
          <t>Federico Velasco:</t>
        </r>
        <r>
          <rPr>
            <sz val="10"/>
            <color rgb="FF000000"/>
            <rFont val="Tahoma"/>
            <charset val="134"/>
          </rPr>
          <t xml:space="preserve">
Tiempo requerido para procesar una unidad de producto.Tiempo en que un material o una informacion demora en transformarse en producto final. No incluye tiempos de alistamiento preparecion de materiales, informacion o equipos (change over)</t>
        </r>
      </text>
    </comment>
    <comment ref="O3" authorId="0">
      <text>
        <r>
          <rPr>
            <b/>
            <sz val="10"/>
            <color rgb="FF000000"/>
            <rFont val="Tahoma"/>
            <charset val="134"/>
          </rPr>
          <t>Federico Velasco:</t>
        </r>
        <r>
          <rPr>
            <sz val="10"/>
            <color rgb="FF000000"/>
            <rFont val="Tahoma"/>
            <charset val="134"/>
          </rPr>
          <t xml:space="preserve">
Es la capacidad del equipo. Referido a la capacidad nominal o teorica al 100% del equipo. Se mide en el cuello de botella o proceso marcapaso.</t>
        </r>
      </text>
    </comment>
    <comment ref="P3" authorId="0">
      <text>
        <r>
          <rPr>
            <b/>
            <sz val="10"/>
            <color rgb="FF000000"/>
            <rFont val="Tahoma"/>
            <charset val="134"/>
          </rPr>
          <t>Federico Velasco:</t>
        </r>
        <r>
          <rPr>
            <sz val="10"/>
            <color rgb="FF000000"/>
            <rFont val="Tahoma"/>
            <charset val="134"/>
          </rPr>
          <t>Tiempo requerido para la produccion total. Es decir el tiempo requerido para la fabricacion a la velocidad nominal tanto de producto bueno como con defecctos</t>
        </r>
      </text>
    </comment>
    <comment ref="Q3" authorId="0">
      <text>
        <r>
          <rPr>
            <b/>
            <sz val="10"/>
            <color rgb="FF000000"/>
            <rFont val="Tahoma"/>
            <charset val="134"/>
          </rPr>
          <t>Federico Velasco:</t>
        </r>
        <r>
          <rPr>
            <sz val="10"/>
            <color rgb="FF000000"/>
            <rFont val="Tahoma"/>
            <charset val="134"/>
          </rPr>
          <t xml:space="preserve">
Tiempo requerido para producir productos buenos o tiempo bien trabajado a velocidad nominal</t>
        </r>
      </text>
    </comment>
    <comment ref="R3" authorId="0">
      <text>
        <r>
          <rPr>
            <b/>
            <sz val="10"/>
            <color rgb="FF000000"/>
            <rFont val="Tahoma"/>
            <charset val="134"/>
          </rPr>
          <t>Federico Velasco:</t>
        </r>
        <r>
          <rPr>
            <sz val="10"/>
            <color rgb="FF000000"/>
            <rFont val="Tahoma"/>
            <charset val="134"/>
          </rPr>
          <t xml:space="preserve">
</t>
        </r>
        <r>
          <rPr>
            <sz val="10"/>
            <color rgb="FF000000"/>
            <rFont val="Aptos Narrow"/>
            <charset val="134"/>
          </rPr>
          <t xml:space="preserve">Tiempo usado en la produccion . El tiempo trabajado con relacion al tiempo pagado.
</t>
        </r>
      </text>
    </comment>
    <comment ref="S3" authorId="0">
      <text>
        <r>
          <rPr>
            <b/>
            <sz val="10"/>
            <color rgb="FF000000"/>
            <rFont val="Tahoma"/>
            <charset val="134"/>
          </rPr>
          <t>Federico Velasco:</t>
        </r>
        <r>
          <rPr>
            <sz val="10"/>
            <color rgb="FF000000"/>
            <rFont val="Tahoma"/>
            <charset val="134"/>
          </rPr>
          <t xml:space="preserve">
Relacion entre la velocidad real del equipo en el tiempo trabajado con la velocidad nominal o capacidad teorica del equipo</t>
        </r>
      </text>
    </comment>
    <comment ref="T3" authorId="0">
      <text>
        <r>
          <rPr>
            <b/>
            <sz val="10"/>
            <color rgb="FF000000"/>
            <rFont val="Tahoma"/>
            <charset val="134"/>
          </rPr>
          <t>Federico Velasco:</t>
        </r>
        <r>
          <rPr>
            <sz val="10"/>
            <color rgb="FF000000"/>
            <rFont val="Tahoma"/>
            <charset val="134"/>
          </rPr>
          <t xml:space="preserve">
Relacion del producto bueno y la produccion total
</t>
        </r>
      </text>
    </comment>
  </commentList>
</comments>
</file>

<file path=xl/sharedStrings.xml><?xml version="1.0" encoding="utf-8"?>
<sst xmlns="http://schemas.openxmlformats.org/spreadsheetml/2006/main" count="105" uniqueCount="70">
  <si>
    <t>OEE esperado</t>
  </si>
  <si>
    <t>Producción Planeada</t>
  </si>
  <si>
    <t>Producción Total</t>
  </si>
  <si>
    <t>Producción con defectos o rechazos</t>
  </si>
  <si>
    <t>Pruducción Buena</t>
  </si>
  <si>
    <t>Tiempo Pagado</t>
  </si>
  <si>
    <t>Tiempo Perdido</t>
  </si>
  <si>
    <t>Tiempo Trabajado</t>
  </si>
  <si>
    <t>Tiempo de Ciclo</t>
  </si>
  <si>
    <t>Velocidad Nominal</t>
  </si>
  <si>
    <t>Tiempo de Ciclo Nominal</t>
  </si>
  <si>
    <t>Tiempo de Ciclo Efectivo</t>
  </si>
  <si>
    <t>Indice de Disponibilidad</t>
  </si>
  <si>
    <t>Indice de Eficiencia operacional</t>
  </si>
  <si>
    <t>Indice de Calidad</t>
  </si>
  <si>
    <t>Eficiencia operacional</t>
  </si>
  <si>
    <t>Cumplimiento del plan</t>
  </si>
  <si>
    <t>Uni</t>
  </si>
  <si>
    <t>h</t>
  </si>
  <si>
    <t>h/uni</t>
  </si>
  <si>
    <t>uni/h</t>
  </si>
  <si>
    <t>%</t>
  </si>
  <si>
    <t>OEE esperado*VN*TP</t>
  </si>
  <si>
    <t>Dato</t>
  </si>
  <si>
    <t>PN-RX</t>
  </si>
  <si>
    <t>Calculo</t>
  </si>
  <si>
    <t>TP-TX</t>
  </si>
  <si>
    <t>1/TC</t>
  </si>
  <si>
    <t>PN/VN ó PN*TC</t>
  </si>
  <si>
    <t>PB/VN ó PB/TC</t>
  </si>
  <si>
    <t>TW / TP</t>
  </si>
  <si>
    <t>TCN/TW</t>
  </si>
  <si>
    <t>TCE/TCN</t>
  </si>
  <si>
    <t>TCE/TP</t>
  </si>
  <si>
    <t>PN/PP</t>
  </si>
  <si>
    <t>Fecha</t>
  </si>
  <si>
    <t>Referencia</t>
  </si>
  <si>
    <t>Equipo</t>
  </si>
  <si>
    <t>Operaio</t>
  </si>
  <si>
    <t xml:space="preserve">Inicio </t>
  </si>
  <si>
    <t>Fin</t>
  </si>
  <si>
    <t>PP</t>
  </si>
  <si>
    <t>PN</t>
  </si>
  <si>
    <t>RX</t>
  </si>
  <si>
    <t>PB</t>
  </si>
  <si>
    <t>TP</t>
  </si>
  <si>
    <t>TX</t>
  </si>
  <si>
    <t>TW</t>
  </si>
  <si>
    <t>TC</t>
  </si>
  <si>
    <t>VN</t>
  </si>
  <si>
    <t>TCN</t>
  </si>
  <si>
    <t>TCE</t>
  </si>
  <si>
    <t>ID</t>
  </si>
  <si>
    <t>IEO</t>
  </si>
  <si>
    <t>IC</t>
  </si>
  <si>
    <t>OEE</t>
  </si>
  <si>
    <t>PA</t>
  </si>
  <si>
    <t>NKD</t>
  </si>
  <si>
    <t>THB</t>
  </si>
  <si>
    <t>fv</t>
  </si>
  <si>
    <t>CR4</t>
  </si>
  <si>
    <t>DSS</t>
  </si>
  <si>
    <t>SP</t>
  </si>
  <si>
    <t>CHR</t>
  </si>
  <si>
    <t>HP</t>
  </si>
  <si>
    <t>Eco 100</t>
  </si>
  <si>
    <t>MRX</t>
  </si>
  <si>
    <t>BZW</t>
  </si>
  <si>
    <t>sku8</t>
  </si>
  <si>
    <t>jl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</si>
</sst>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-* #,##0_-;\-* #,##0_-;_-* &quot;-&quot;_-;_-@_-"/>
    <numFmt numFmtId="178" formatCode="_-* #,##0.0_-;\-* #,##0.0_-;_-* &quot;-&quot;_-;_-@_-"/>
    <numFmt numFmtId="179" formatCode="_-* #,##0.00_-;\-* #,##0.00_-;_-* &quot;-&quot;_-;_-@_-"/>
    <numFmt numFmtId="180" formatCode="_-* #,##0.0000_-;\-* #,##0.0000_-;_-* &quot;-&quot;_-;_-@_-"/>
    <numFmt numFmtId="181" formatCode="0.0000"/>
    <numFmt numFmtId="182" formatCode="_-* #,##0.00_-;\-* #,##0.00_-;_-* &quot;-&quot;??_-;_-@_-"/>
  </numFmts>
  <fonts count="30">
    <font>
      <sz val="12"/>
      <color theme="1"/>
      <name val="Aptos Narrow"/>
      <charset val="134"/>
      <scheme val="minor"/>
    </font>
    <font>
      <sz val="12"/>
      <color theme="1"/>
      <name val="Times New Roman"/>
      <charset val="134"/>
    </font>
    <font>
      <b/>
      <sz val="12"/>
      <color theme="1"/>
      <name val="Times New Roman"/>
      <charset val="134"/>
    </font>
    <font>
      <sz val="12"/>
      <color rgb="FF000000"/>
      <name val="Times New Roman"/>
      <charset val="0"/>
    </font>
    <font>
      <sz val="12"/>
      <color rgb="FF0432FF"/>
      <name val="Times New Roman"/>
      <charset val="0"/>
    </font>
    <font>
      <sz val="12"/>
      <name val="Times New Roman"/>
      <charset val="134"/>
    </font>
    <font>
      <sz val="12"/>
      <color rgb="FF0432FF"/>
      <name val="Times New Roman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b/>
      <sz val="10"/>
      <color rgb="FF000000"/>
      <name val="Tahoma"/>
      <charset val="134"/>
    </font>
    <font>
      <sz val="10"/>
      <color rgb="FF000000"/>
      <name val="Aptos Narrow"/>
      <charset val="134"/>
    </font>
    <font>
      <sz val="10"/>
      <color rgb="FF000000"/>
      <name val="Tahoma"/>
      <charset val="134"/>
    </font>
  </fonts>
  <fills count="3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E8E8E8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7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6" borderId="10" applyNumberFormat="0" applyAlignment="0" applyProtection="0">
      <alignment vertical="center"/>
    </xf>
    <xf numFmtId="0" fontId="19" fillId="7" borderId="12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46">
    <xf numFmtId="0" fontId="0" fillId="0" borderId="0" xfId="0"/>
    <xf numFmtId="0" fontId="1" fillId="0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horizontal="center"/>
    </xf>
    <xf numFmtId="0" fontId="1" fillId="0" borderId="0" xfId="0" applyFont="1" applyFill="1"/>
    <xf numFmtId="0" fontId="1" fillId="0" borderId="0" xfId="0" applyFont="1" applyFill="1" applyBorder="1" applyAlignment="1">
      <alignment horizontal="center" wrapText="1"/>
    </xf>
    <xf numFmtId="0" fontId="2" fillId="0" borderId="0" xfId="0" applyFont="1" applyFill="1" applyAlignment="1">
      <alignment horizontal="center" vertical="center" wrapText="1"/>
    </xf>
    <xf numFmtId="9" fontId="4" fillId="0" borderId="0" xfId="0" applyNumberFormat="1" applyFont="1" applyAlignment="1">
      <alignment horizontal="center"/>
    </xf>
    <xf numFmtId="0" fontId="1" fillId="0" borderId="0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16" fontId="1" fillId="0" borderId="0" xfId="0" applyNumberFormat="1" applyFont="1"/>
    <xf numFmtId="20" fontId="1" fillId="0" borderId="0" xfId="0" applyNumberFormat="1" applyFont="1"/>
    <xf numFmtId="177" fontId="6" fillId="0" borderId="0" xfId="4" applyFont="1" applyFill="1"/>
    <xf numFmtId="177" fontId="1" fillId="0" borderId="0" xfId="4" applyFont="1" applyFill="1"/>
    <xf numFmtId="178" fontId="6" fillId="0" borderId="0" xfId="4" applyNumberFormat="1" applyFont="1" applyFill="1"/>
    <xf numFmtId="179" fontId="6" fillId="0" borderId="0" xfId="4" applyNumberFormat="1" applyFont="1" applyFill="1"/>
    <xf numFmtId="179" fontId="1" fillId="0" borderId="0" xfId="4" applyNumberFormat="1" applyFont="1" applyFill="1"/>
    <xf numFmtId="180" fontId="6" fillId="0" borderId="0" xfId="4" applyNumberFormat="1" applyFont="1" applyFill="1"/>
    <xf numFmtId="177" fontId="5" fillId="0" borderId="0" xfId="4" applyFont="1" applyFill="1"/>
    <xf numFmtId="181" fontId="1" fillId="0" borderId="0" xfId="3" applyNumberFormat="1" applyFont="1" applyFill="1"/>
    <xf numFmtId="10" fontId="1" fillId="0" borderId="0" xfId="3" applyNumberFormat="1" applyFont="1" applyFill="1"/>
    <xf numFmtId="9" fontId="1" fillId="0" borderId="0" xfId="3" applyFont="1" applyAlignment="1">
      <alignment horizontal="center"/>
    </xf>
    <xf numFmtId="178" fontId="5" fillId="0" borderId="0" xfId="4" applyNumberFormat="1" applyFont="1" applyFill="1"/>
    <xf numFmtId="179" fontId="5" fillId="0" borderId="0" xfId="4" applyNumberFormat="1" applyFont="1" applyFill="1"/>
    <xf numFmtId="181" fontId="5" fillId="0" borderId="0" xfId="3" applyNumberFormat="1" applyFont="1" applyFill="1"/>
    <xf numFmtId="10" fontId="5" fillId="0" borderId="0" xfId="3" applyNumberFormat="1" applyFont="1" applyFill="1"/>
    <xf numFmtId="9" fontId="5" fillId="0" borderId="0" xfId="3" applyFont="1" applyAlignment="1">
      <alignment horizontal="center"/>
    </xf>
    <xf numFmtId="177" fontId="5" fillId="0" borderId="6" xfId="4" applyFont="1" applyFill="1" applyBorder="1"/>
    <xf numFmtId="178" fontId="5" fillId="0" borderId="6" xfId="4" applyNumberFormat="1" applyFont="1" applyFill="1" applyBorder="1"/>
    <xf numFmtId="179" fontId="5" fillId="0" borderId="6" xfId="4" applyNumberFormat="1" applyFont="1" applyFill="1" applyBorder="1"/>
    <xf numFmtId="181" fontId="5" fillId="0" borderId="6" xfId="3" applyNumberFormat="1" applyFont="1" applyFill="1" applyBorder="1"/>
    <xf numFmtId="10" fontId="5" fillId="0" borderId="6" xfId="3" applyNumberFormat="1" applyFont="1" applyFill="1" applyBorder="1"/>
    <xf numFmtId="9" fontId="5" fillId="0" borderId="6" xfId="3" applyFont="1" applyBorder="1" applyAlignment="1">
      <alignment horizontal="center"/>
    </xf>
    <xf numFmtId="2" fontId="0" fillId="0" borderId="0" xfId="0" applyNumberFormat="1"/>
    <xf numFmtId="182" fontId="0" fillId="0" borderId="0" xfId="0" applyNumberFormat="1"/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22">
    <dxf>
      <numFmt numFmtId="16" formatCode="d\-mmm"/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numFmt numFmtId="20" formatCode="h:mm"/>
      <fill>
        <patternFill patternType="none"/>
      </fill>
    </dxf>
    <dxf>
      <numFmt numFmtId="20" formatCode="h:mm"/>
      <fill>
        <patternFill patternType="none"/>
      </fill>
    </dxf>
    <dxf>
      <font>
        <name val="Aptos Narrow"/>
        <scheme val="none"/>
        <family val="2"/>
        <b val="0"/>
        <i val="0"/>
        <strike val="0"/>
        <u val="none"/>
        <sz val="12"/>
        <color rgb="FF0432FF"/>
      </font>
      <fill>
        <patternFill patternType="none"/>
      </fill>
    </dxf>
    <dxf>
      <font>
        <name val="Aptos Narrow"/>
        <scheme val="none"/>
        <family val="2"/>
        <b val="0"/>
        <i val="0"/>
        <strike val="0"/>
        <u val="none"/>
        <sz val="12"/>
        <color rgb="FF0432FF"/>
      </font>
      <fill>
        <patternFill patternType="none"/>
      </fill>
    </dxf>
    <dxf>
      <font>
        <name val="Aptos Narrow"/>
        <scheme val="none"/>
        <family val="2"/>
        <b val="0"/>
        <i val="0"/>
        <strike val="0"/>
        <u val="none"/>
        <sz val="12"/>
        <color rgb="FF0432FF"/>
      </font>
      <fill>
        <patternFill patternType="none"/>
      </fill>
    </dxf>
    <dxf>
      <font>
        <name val="Aptos Narrow"/>
        <scheme val="none"/>
        <family val="2"/>
        <b val="0"/>
        <i val="0"/>
        <strike val="0"/>
        <u val="none"/>
        <sz val="12"/>
        <color theme="1"/>
      </font>
      <fill>
        <patternFill patternType="none"/>
      </fill>
    </dxf>
    <dxf>
      <font>
        <name val="Aptos Narrow"/>
        <scheme val="none"/>
        <family val="2"/>
        <b val="0"/>
        <i val="0"/>
        <strike val="0"/>
        <u val="none"/>
        <sz val="12"/>
        <color rgb="FF0432FF"/>
      </font>
      <numFmt numFmtId="178" formatCode="_-* #,##0.0_-;\-* #,##0.0_-;_-* &quot;-&quot;_-;_-@_-"/>
      <fill>
        <patternFill patternType="none"/>
      </fill>
    </dxf>
    <dxf>
      <font>
        <name val="Aptos Narrow"/>
        <scheme val="none"/>
        <family val="2"/>
        <b val="0"/>
        <i val="0"/>
        <strike val="0"/>
        <u val="none"/>
        <sz val="12"/>
        <color rgb="FF0432FF"/>
      </font>
      <numFmt numFmtId="179" formatCode="_-* #,##0.00_-;\-* #,##0.00_-;_-* &quot;-&quot;_-;_-@_-"/>
      <fill>
        <patternFill patternType="none"/>
      </fill>
    </dxf>
    <dxf>
      <font>
        <name val="Aptos Narrow"/>
        <scheme val="none"/>
        <family val="2"/>
        <b val="0"/>
        <i val="0"/>
        <strike val="0"/>
        <u val="none"/>
        <sz val="12"/>
        <color theme="1"/>
      </font>
      <numFmt numFmtId="179" formatCode="_-* #,##0.00_-;\-* #,##0.00_-;_-* &quot;-&quot;_-;_-@_-"/>
      <fill>
        <patternFill patternType="none"/>
      </fill>
    </dxf>
    <dxf>
      <font>
        <name val="Aptos Narrow"/>
        <scheme val="none"/>
        <family val="2"/>
        <b val="0"/>
        <i val="0"/>
        <strike val="0"/>
        <u val="none"/>
        <sz val="12"/>
        <color rgb="FF0432FF"/>
      </font>
      <numFmt numFmtId="180" formatCode="_-* #,##0.0000_-;\-* #,##0.0000_-;_-* &quot;-&quot;_-;_-@_-"/>
      <fill>
        <patternFill patternType="none"/>
      </fill>
    </dxf>
    <dxf>
      <font>
        <name val="Aptos Narrow"/>
        <scheme val="none"/>
        <family val="2"/>
        <b val="0"/>
        <i val="0"/>
        <strike val="0"/>
        <u val="none"/>
        <sz val="12"/>
        <color auto="1"/>
      </font>
      <fill>
        <patternFill patternType="none"/>
      </fill>
    </dxf>
    <dxf>
      <font>
        <name val="Aptos Narrow"/>
        <scheme val="none"/>
        <family val="2"/>
        <b val="0"/>
        <i val="0"/>
        <strike val="0"/>
        <u val="none"/>
        <sz val="12"/>
        <color theme="1"/>
      </font>
      <numFmt numFmtId="181" formatCode="0.0000"/>
      <fill>
        <patternFill patternType="none"/>
      </fill>
    </dxf>
    <dxf>
      <font>
        <name val="Aptos Narrow"/>
        <scheme val="none"/>
        <family val="2"/>
        <b val="0"/>
        <i val="0"/>
        <strike val="0"/>
        <u val="none"/>
        <sz val="12"/>
        <color theme="1"/>
      </font>
      <numFmt numFmtId="181" formatCode="0.0000"/>
      <fill>
        <patternFill patternType="none"/>
      </fill>
    </dxf>
    <dxf>
      <font>
        <name val="Aptos Narrow"/>
        <scheme val="none"/>
        <family val="2"/>
        <b val="0"/>
        <i val="0"/>
        <strike val="0"/>
        <u val="none"/>
        <sz val="12"/>
        <color theme="1"/>
      </font>
      <numFmt numFmtId="10" formatCode="0.00%"/>
      <fill>
        <patternFill patternType="none"/>
      </fill>
    </dxf>
    <dxf>
      <font>
        <name val="Aptos Narrow"/>
        <scheme val="none"/>
        <family val="2"/>
        <b val="0"/>
        <i val="0"/>
        <strike val="0"/>
        <u val="none"/>
        <sz val="12"/>
        <color theme="1"/>
      </font>
      <numFmt numFmtId="10" formatCode="0.00%"/>
      <fill>
        <patternFill patternType="none"/>
      </fill>
    </dxf>
    <dxf>
      <font>
        <name val="Aptos Narrow"/>
        <scheme val="none"/>
        <family val="2"/>
        <b val="0"/>
        <i val="0"/>
        <strike val="0"/>
        <u val="none"/>
        <sz val="12"/>
        <color theme="1"/>
      </font>
      <numFmt numFmtId="10" formatCode="0.00%"/>
      <fill>
        <patternFill patternType="none"/>
      </fill>
    </dxf>
    <dxf>
      <font>
        <name val="Aptos Narrow"/>
        <scheme val="none"/>
        <family val="2"/>
        <b val="0"/>
        <i val="0"/>
        <strike val="0"/>
        <u val="none"/>
        <sz val="12"/>
        <color theme="1"/>
      </font>
      <numFmt numFmtId="10" formatCode="0.00%"/>
      <fill>
        <patternFill patternType="none"/>
      </fill>
    </dxf>
    <dxf>
      <font>
        <name val="Aptos Narrow"/>
        <scheme val="none"/>
        <family val="2"/>
        <b val="0"/>
        <i val="0"/>
        <strike val="0"/>
        <u val="none"/>
        <sz val="12"/>
        <color theme="1"/>
      </font>
      <alignment horizontal="center"/>
    </dxf>
  </dxfs>
  <tableStyles count="0" defaultTableStyle="TableStyleMedium2" defaultPivotStyle="PivotStyleLight16"/>
  <colors>
    <mruColors>
      <color rgb="000432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a1" displayName="Tabla1" ref="A6:V19" totalsRowShown="0">
  <autoFilter xmlns:etc="http://www.wps.cn/officeDocument/2017/etCustomData" ref="A6:V19" etc:filterBottomFollowUsedRange="0"/>
  <tableColumns count="22">
    <tableColumn id="1" name="Fecha" dataDxfId="0"/>
    <tableColumn id="2" name="Referencia" dataDxfId="1"/>
    <tableColumn id="3" name="Equipo" dataDxfId="2"/>
    <tableColumn id="4" name="Operaio" dataDxfId="3"/>
    <tableColumn id="5" name="Inicio " dataDxfId="4"/>
    <tableColumn id="6" name="Fin" dataDxfId="5"/>
    <tableColumn id="7" name="PP" dataDxfId="6"/>
    <tableColumn id="8" name="PN" dataDxfId="7"/>
    <tableColumn id="9" name="RX" dataDxfId="8"/>
    <tableColumn id="10" name="PB" dataDxfId="9"/>
    <tableColumn id="11" name="TP" dataDxfId="10"/>
    <tableColumn id="12" name="TX" dataDxfId="11"/>
    <tableColumn id="13" name="TW" dataDxfId="12">
      <calculatedColumnFormula>K7-L7</calculatedColumnFormula>
    </tableColumn>
    <tableColumn id="14" name="TC" dataDxfId="13"/>
    <tableColumn id="15" name="VN" dataDxfId="14">
      <calculatedColumnFormula>1/N7</calculatedColumnFormula>
    </tableColumn>
    <tableColumn id="18" name="TCN" dataDxfId="15">
      <calculatedColumnFormula>IF(M7=0," ",IFERROR(IF($P$1=1,H7/O7,H7*N7)," "))</calculatedColumnFormula>
    </tableColumn>
    <tableColumn id="19" name="TCE" dataDxfId="16">
      <calculatedColumnFormula>IFERROR(IF($Q$1=1,J7/O7,J7*N7)," ")</calculatedColumnFormula>
    </tableColumn>
    <tableColumn id="20" name="ID" dataDxfId="17">
      <calculatedColumnFormula>IFERROR(M7/K7," ")</calculatedColumnFormula>
    </tableColumn>
    <tableColumn id="21" name="IEO" dataDxfId="18">
      <calculatedColumnFormula>IFERROR(P7/M7," ")</calculatedColumnFormula>
    </tableColumn>
    <tableColumn id="22" name="IC" dataDxfId="19">
      <calculatedColumnFormula>IFERROR(Q7/P7," ")</calculatedColumnFormula>
    </tableColumn>
    <tableColumn id="23" name="OEE" dataDxfId="20">
      <calculatedColumnFormula>IFERROR(Q7/K7," ")</calculatedColumnFormula>
    </tableColumn>
    <tableColumn id="24" name="PA" dataDxfId="21">
      <calculatedColumnFormula>H7/G7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5"/>
  <sheetViews>
    <sheetView tabSelected="1" topLeftCell="C1" workbookViewId="0">
      <selection activeCell="G7" sqref="G7"/>
    </sheetView>
  </sheetViews>
  <sheetFormatPr defaultColWidth="11" defaultRowHeight="15.55"/>
  <cols>
    <col min="1" max="1" width="12.8768115942029" customWidth="1"/>
    <col min="2" max="2" width="15.1231884057971" customWidth="1"/>
    <col min="3" max="3" width="11.6231884057971" customWidth="1"/>
    <col min="4" max="4" width="12.6231884057971" customWidth="1"/>
    <col min="5" max="5" width="8.93478260869565" customWidth="1"/>
    <col min="6" max="6" width="7.84057971014493" customWidth="1"/>
    <col min="7" max="7" width="13.9420289855072" customWidth="1"/>
    <col min="8" max="8" width="10.6231884057971" customWidth="1"/>
    <col min="9" max="9" width="11.8768115942029" customWidth="1"/>
    <col min="10" max="10" width="10.3768115942029" customWidth="1"/>
    <col min="11" max="12" width="10.1231884057971" customWidth="1"/>
    <col min="13" max="13" width="10.8768115942029" customWidth="1"/>
    <col min="14" max="14" width="10.3768115942029" customWidth="1"/>
    <col min="15" max="15" width="10.6231884057971" customWidth="1"/>
    <col min="16" max="16" width="13" customWidth="1"/>
    <col min="17" max="17" width="12.8768115942029" customWidth="1"/>
    <col min="18" max="18" width="13.5072463768116" customWidth="1"/>
    <col min="19" max="19" width="13.8768115942029" customWidth="1"/>
    <col min="20" max="20" width="10" customWidth="1"/>
    <col min="21" max="21" width="12.6014492753623" customWidth="1"/>
    <col min="22" max="22" width="13.0579710144928" customWidth="1"/>
    <col min="23" max="23" width="5.8768115942029" customWidth="1"/>
  </cols>
  <sheetData>
    <row r="1" s="1" customFormat="1" spans="1:22">
      <c r="G1" s="5" t="s">
        <v>0</v>
      </c>
      <c r="H1" s="6"/>
      <c r="I1" s="6"/>
      <c r="J1" s="6"/>
      <c r="K1" s="6"/>
      <c r="L1" s="6"/>
      <c r="M1" s="6"/>
      <c r="N1" s="6"/>
      <c r="O1" s="6"/>
      <c r="P1" s="7"/>
      <c r="Q1" s="7"/>
      <c r="R1" s="6"/>
      <c r="S1" s="6"/>
      <c r="T1" s="6"/>
      <c r="U1" s="6"/>
      <c r="V1" s="6"/>
    </row>
    <row r="2" s="1" customFormat="1" spans="1:22">
      <c r="C2" s="8"/>
      <c r="G2" s="9">
        <v>0.7</v>
      </c>
      <c r="P2" s="10"/>
      <c r="Q2" s="10"/>
    </row>
    <row r="3" s="2" customFormat="1" ht="46.65" spans="1:22">
      <c r="G3" s="11" t="s">
        <v>1</v>
      </c>
      <c r="H3" s="11" t="s">
        <v>2</v>
      </c>
      <c r="I3" s="11" t="s">
        <v>3</v>
      </c>
      <c r="J3" s="11" t="s">
        <v>4</v>
      </c>
      <c r="K3" s="11" t="s">
        <v>5</v>
      </c>
      <c r="L3" s="11" t="s">
        <v>6</v>
      </c>
      <c r="M3" s="11" t="s">
        <v>7</v>
      </c>
      <c r="N3" s="11" t="s">
        <v>8</v>
      </c>
      <c r="O3" s="12" t="s">
        <v>9</v>
      </c>
      <c r="P3" s="11" t="s">
        <v>10</v>
      </c>
      <c r="Q3" s="11" t="s">
        <v>11</v>
      </c>
      <c r="R3" s="13" t="s">
        <v>12</v>
      </c>
      <c r="S3" s="11" t="s">
        <v>13</v>
      </c>
      <c r="T3" s="11" t="s">
        <v>14</v>
      </c>
      <c r="U3" s="11" t="s">
        <v>15</v>
      </c>
      <c r="V3" s="11" t="s">
        <v>16</v>
      </c>
    </row>
    <row r="4" s="2" customFormat="1" spans="1:22">
      <c r="G4" s="14" t="s">
        <v>17</v>
      </c>
      <c r="H4" s="14" t="s">
        <v>17</v>
      </c>
      <c r="I4" s="14" t="s">
        <v>17</v>
      </c>
      <c r="J4" s="14" t="s">
        <v>17</v>
      </c>
      <c r="K4" s="14" t="s">
        <v>18</v>
      </c>
      <c r="L4" s="14" t="s">
        <v>18</v>
      </c>
      <c r="M4" s="14" t="s">
        <v>18</v>
      </c>
      <c r="N4" s="15" t="s">
        <v>19</v>
      </c>
      <c r="O4" s="14" t="s">
        <v>20</v>
      </c>
      <c r="P4" s="16" t="s">
        <v>19</v>
      </c>
      <c r="Q4" s="16" t="s">
        <v>19</v>
      </c>
      <c r="R4" s="11" t="s">
        <v>21</v>
      </c>
      <c r="S4" s="11" t="s">
        <v>21</v>
      </c>
      <c r="T4" s="11" t="s">
        <v>21</v>
      </c>
      <c r="U4" s="11" t="s">
        <v>21</v>
      </c>
      <c r="V4" s="14" t="s">
        <v>21</v>
      </c>
    </row>
    <row r="5" s="2" customFormat="1" ht="31.1" spans="1:22">
      <c r="A5" s="17"/>
      <c r="B5" s="17"/>
      <c r="C5" s="17"/>
      <c r="D5" s="17"/>
      <c r="E5" s="17"/>
      <c r="F5" s="17"/>
      <c r="G5" s="18" t="s">
        <v>22</v>
      </c>
      <c r="H5" s="11" t="s">
        <v>23</v>
      </c>
      <c r="I5" s="11" t="s">
        <v>23</v>
      </c>
      <c r="J5" s="19" t="s">
        <v>24</v>
      </c>
      <c r="K5" s="11" t="s">
        <v>25</v>
      </c>
      <c r="L5" s="11" t="s">
        <v>23</v>
      </c>
      <c r="M5" s="11" t="s">
        <v>26</v>
      </c>
      <c r="N5" s="11" t="s">
        <v>23</v>
      </c>
      <c r="O5" s="11" t="s">
        <v>27</v>
      </c>
      <c r="P5" s="11" t="s">
        <v>28</v>
      </c>
      <c r="Q5" s="11" t="s">
        <v>29</v>
      </c>
      <c r="R5" s="11" t="s">
        <v>30</v>
      </c>
      <c r="S5" s="11" t="s">
        <v>31</v>
      </c>
      <c r="T5" s="11" t="s">
        <v>32</v>
      </c>
      <c r="U5" s="11" t="s">
        <v>33</v>
      </c>
      <c r="V5" s="11" t="s">
        <v>34</v>
      </c>
    </row>
    <row r="6" s="3" customFormat="1" spans="1:22">
      <c r="A6" s="20" t="s">
        <v>35</v>
      </c>
      <c r="B6" s="20" t="s">
        <v>36</v>
      </c>
      <c r="C6" s="20" t="s">
        <v>37</v>
      </c>
      <c r="D6" s="20" t="s">
        <v>38</v>
      </c>
      <c r="E6" s="20" t="s">
        <v>39</v>
      </c>
      <c r="F6" s="20" t="s">
        <v>40</v>
      </c>
      <c r="G6" s="20" t="s">
        <v>41</v>
      </c>
      <c r="H6" s="20" t="s">
        <v>42</v>
      </c>
      <c r="I6" s="20" t="s">
        <v>43</v>
      </c>
      <c r="J6" s="20" t="s">
        <v>44</v>
      </c>
      <c r="K6" s="20" t="s">
        <v>45</v>
      </c>
      <c r="L6" s="20" t="s">
        <v>46</v>
      </c>
      <c r="M6" s="20" t="s">
        <v>47</v>
      </c>
      <c r="N6" s="20" t="s">
        <v>48</v>
      </c>
      <c r="O6" s="20" t="s">
        <v>49</v>
      </c>
      <c r="P6" s="20" t="s">
        <v>50</v>
      </c>
      <c r="Q6" s="20" t="s">
        <v>51</v>
      </c>
      <c r="R6" s="20" t="s">
        <v>52</v>
      </c>
      <c r="S6" s="20" t="s">
        <v>53</v>
      </c>
      <c r="T6" s="20" t="s">
        <v>54</v>
      </c>
      <c r="U6" s="20" t="s">
        <v>55</v>
      </c>
      <c r="V6" s="20" t="s">
        <v>56</v>
      </c>
    </row>
    <row r="7" s="4" customFormat="1" spans="1:22">
      <c r="A7" s="21">
        <v>46078</v>
      </c>
      <c r="B7" s="4" t="s">
        <v>57</v>
      </c>
      <c r="C7" s="4" t="s">
        <v>58</v>
      </c>
      <c r="D7" s="4" t="s">
        <v>59</v>
      </c>
      <c r="E7" s="22">
        <v>0.25</v>
      </c>
      <c r="F7" s="22">
        <v>0.291666666666667</v>
      </c>
      <c r="G7" s="23">
        <f t="shared" ref="G7:G14" si="0">$G$2*O7*K7</f>
        <v>2459.8</v>
      </c>
      <c r="H7" s="23">
        <v>1755</v>
      </c>
      <c r="I7" s="23">
        <v>64</v>
      </c>
      <c r="J7" s="24">
        <v>1691</v>
      </c>
      <c r="K7" s="25">
        <v>1</v>
      </c>
      <c r="L7" s="26">
        <v>0.3</v>
      </c>
      <c r="M7" s="27">
        <f t="shared" ref="M7:M19" si="1">K7-L7</f>
        <v>0.7</v>
      </c>
      <c r="N7" s="28">
        <v>0.000284575981787137</v>
      </c>
      <c r="O7" s="29">
        <f t="shared" ref="O7:O19" si="2">1/N7</f>
        <v>3514</v>
      </c>
      <c r="P7" s="30">
        <f t="shared" ref="P7:P19" si="3">IF(M7=0," ",IFERROR(IF($P$1=1,H7/O7,H7*N7)," "))</f>
        <v>0.499430848036425</v>
      </c>
      <c r="Q7" s="30">
        <f t="shared" ref="Q7:Q19" si="4">IFERROR(IF($Q$1=1,J7/O7,J7*N7)," ")</f>
        <v>0.481217985202049</v>
      </c>
      <c r="R7" s="31">
        <f t="shared" ref="R7:R20" si="5">IFERROR(M7/K7," ")</f>
        <v>0.7</v>
      </c>
      <c r="S7" s="31">
        <f t="shared" ref="S7:S20" si="6">IFERROR(P7/M7," ")</f>
        <v>0.713472640052036</v>
      </c>
      <c r="T7" s="31">
        <f t="shared" ref="T7:T20" si="7">IFERROR(Q7/P7," ")</f>
        <v>0.963532763532764</v>
      </c>
      <c r="U7" s="31">
        <f t="shared" ref="U7:U20" si="8">IFERROR(Q7/K7," ")</f>
        <v>0.481217985202049</v>
      </c>
      <c r="V7" s="32">
        <f t="shared" ref="V7:V20" si="9">H7/G7</f>
        <v>0.713472640052037</v>
      </c>
    </row>
    <row r="8" s="4" customFormat="1" spans="1:22">
      <c r="A8" s="21">
        <v>46078</v>
      </c>
      <c r="B8" s="4" t="s">
        <v>60</v>
      </c>
      <c r="C8" s="4" t="s">
        <v>58</v>
      </c>
      <c r="D8" s="4" t="s">
        <v>59</v>
      </c>
      <c r="E8" s="22">
        <f>F7</f>
        <v>0.291666666666667</v>
      </c>
      <c r="F8" s="22">
        <v>0.333333333333333</v>
      </c>
      <c r="G8" s="23">
        <f t="shared" si="0"/>
        <v>2149</v>
      </c>
      <c r="H8" s="23">
        <v>1519</v>
      </c>
      <c r="I8" s="23">
        <v>57</v>
      </c>
      <c r="J8" s="24">
        <v>1462</v>
      </c>
      <c r="K8" s="25">
        <v>1</v>
      </c>
      <c r="L8" s="26">
        <v>0.2</v>
      </c>
      <c r="M8" s="27">
        <f t="shared" si="1"/>
        <v>0.8</v>
      </c>
      <c r="N8" s="28">
        <v>0.000325732899022801</v>
      </c>
      <c r="O8" s="29">
        <f t="shared" si="2"/>
        <v>3070</v>
      </c>
      <c r="P8" s="30">
        <f t="shared" si="3"/>
        <v>0.494788273615635</v>
      </c>
      <c r="Q8" s="30">
        <f t="shared" si="4"/>
        <v>0.476221498371335</v>
      </c>
      <c r="R8" s="31">
        <f t="shared" si="5"/>
        <v>0.8</v>
      </c>
      <c r="S8" s="31">
        <f t="shared" si="6"/>
        <v>0.618485342019543</v>
      </c>
      <c r="T8" s="31">
        <f t="shared" si="7"/>
        <v>0.962475312705727</v>
      </c>
      <c r="U8" s="31">
        <f t="shared" si="8"/>
        <v>0.476221498371335</v>
      </c>
      <c r="V8" s="32">
        <f t="shared" si="9"/>
        <v>0.706840390879479</v>
      </c>
    </row>
    <row r="9" s="4" customFormat="1" spans="1:22">
      <c r="A9" s="21">
        <v>46078</v>
      </c>
      <c r="B9" s="4" t="s">
        <v>61</v>
      </c>
      <c r="C9" s="4" t="s">
        <v>58</v>
      </c>
      <c r="D9" s="4" t="s">
        <v>59</v>
      </c>
      <c r="E9" s="22">
        <f>F8</f>
        <v>0.333333333333333</v>
      </c>
      <c r="F9" s="22">
        <v>0.375</v>
      </c>
      <c r="G9" s="23">
        <f t="shared" si="0"/>
        <v>2255.4</v>
      </c>
      <c r="H9" s="23">
        <v>1501</v>
      </c>
      <c r="I9" s="23">
        <v>29</v>
      </c>
      <c r="J9" s="24">
        <v>1472</v>
      </c>
      <c r="K9" s="25">
        <v>1</v>
      </c>
      <c r="L9" s="26">
        <v>0.24</v>
      </c>
      <c r="M9" s="27">
        <f t="shared" si="1"/>
        <v>0.76</v>
      </c>
      <c r="N9" s="28">
        <v>0.000310366232153942</v>
      </c>
      <c r="O9" s="29">
        <f t="shared" si="2"/>
        <v>3222</v>
      </c>
      <c r="P9" s="30">
        <f t="shared" si="3"/>
        <v>0.465859714463067</v>
      </c>
      <c r="Q9" s="30">
        <f t="shared" si="4"/>
        <v>0.456859093730603</v>
      </c>
      <c r="R9" s="31">
        <f t="shared" si="5"/>
        <v>0.76</v>
      </c>
      <c r="S9" s="31">
        <f t="shared" si="6"/>
        <v>0.612973308504035</v>
      </c>
      <c r="T9" s="31">
        <f t="shared" si="7"/>
        <v>0.980679546968688</v>
      </c>
      <c r="U9" s="31">
        <f t="shared" si="8"/>
        <v>0.456859093730603</v>
      </c>
      <c r="V9" s="32">
        <f t="shared" si="9"/>
        <v>0.665513877804381</v>
      </c>
    </row>
    <row r="10" s="4" customFormat="1" spans="1:22">
      <c r="A10" s="21">
        <v>46078</v>
      </c>
      <c r="B10" s="4" t="s">
        <v>62</v>
      </c>
      <c r="C10" s="4" t="s">
        <v>58</v>
      </c>
      <c r="D10" s="4" t="s">
        <v>59</v>
      </c>
      <c r="E10" s="22">
        <f t="shared" ref="E10:E19" si="10">F9</f>
        <v>0.375</v>
      </c>
      <c r="F10" s="22">
        <v>0.416666666666667</v>
      </c>
      <c r="G10" s="23">
        <f t="shared" si="0"/>
        <v>2181.2</v>
      </c>
      <c r="H10" s="23">
        <v>1757</v>
      </c>
      <c r="I10" s="23">
        <v>91</v>
      </c>
      <c r="J10" s="24">
        <v>1666</v>
      </c>
      <c r="K10" s="25">
        <v>1</v>
      </c>
      <c r="L10" s="26">
        <v>0.3</v>
      </c>
      <c r="M10" s="27">
        <f t="shared" si="1"/>
        <v>0.7</v>
      </c>
      <c r="N10" s="28">
        <v>0.000320924261874198</v>
      </c>
      <c r="O10" s="29">
        <f t="shared" si="2"/>
        <v>3116</v>
      </c>
      <c r="P10" s="30">
        <f t="shared" si="3"/>
        <v>0.563863928112966</v>
      </c>
      <c r="Q10" s="30">
        <f t="shared" si="4"/>
        <v>0.534659820282414</v>
      </c>
      <c r="R10" s="31">
        <f t="shared" si="5"/>
        <v>0.7</v>
      </c>
      <c r="S10" s="31">
        <f t="shared" si="6"/>
        <v>0.805519897304237</v>
      </c>
      <c r="T10" s="31">
        <f t="shared" si="7"/>
        <v>0.948207171314741</v>
      </c>
      <c r="U10" s="31">
        <f t="shared" si="8"/>
        <v>0.534659820282414</v>
      </c>
      <c r="V10" s="32">
        <f t="shared" si="9"/>
        <v>0.805519897304236</v>
      </c>
    </row>
    <row r="11" s="4" customFormat="1" spans="1:22">
      <c r="A11" s="21">
        <v>46078</v>
      </c>
      <c r="B11" s="4" t="s">
        <v>63</v>
      </c>
      <c r="C11" s="4" t="s">
        <v>64</v>
      </c>
      <c r="D11" s="4" t="s">
        <v>59</v>
      </c>
      <c r="E11" s="22">
        <f t="shared" si="10"/>
        <v>0.416666666666667</v>
      </c>
      <c r="F11" s="22">
        <v>0.458333333333333</v>
      </c>
      <c r="G11" s="23">
        <f t="shared" si="0"/>
        <v>2770.6</v>
      </c>
      <c r="H11" s="23">
        <v>1825</v>
      </c>
      <c r="I11" s="23">
        <v>73</v>
      </c>
      <c r="J11" s="24">
        <v>1752</v>
      </c>
      <c r="K11" s="25">
        <v>1</v>
      </c>
      <c r="L11" s="26">
        <v>0.5</v>
      </c>
      <c r="M11" s="27">
        <f t="shared" si="1"/>
        <v>0.5</v>
      </c>
      <c r="N11" s="28">
        <v>0.000252652854977261</v>
      </c>
      <c r="O11" s="29">
        <f t="shared" si="2"/>
        <v>3958</v>
      </c>
      <c r="P11" s="30">
        <f t="shared" si="3"/>
        <v>0.461091460333501</v>
      </c>
      <c r="Q11" s="30">
        <f t="shared" si="4"/>
        <v>0.442647801920161</v>
      </c>
      <c r="R11" s="31">
        <f t="shared" si="5"/>
        <v>0.5</v>
      </c>
      <c r="S11" s="31">
        <f t="shared" si="6"/>
        <v>0.922182920667003</v>
      </c>
      <c r="T11" s="31">
        <f t="shared" si="7"/>
        <v>0.96</v>
      </c>
      <c r="U11" s="31">
        <f t="shared" si="8"/>
        <v>0.442647801920161</v>
      </c>
      <c r="V11" s="32">
        <f t="shared" si="9"/>
        <v>0.658702086190717</v>
      </c>
    </row>
    <row r="12" s="4" customFormat="1" spans="1:22">
      <c r="A12" s="21">
        <v>46078</v>
      </c>
      <c r="B12" s="4" t="s">
        <v>65</v>
      </c>
      <c r="C12" s="4" t="s">
        <v>64</v>
      </c>
      <c r="D12" s="4" t="s">
        <v>59</v>
      </c>
      <c r="E12" s="22">
        <f t="shared" si="10"/>
        <v>0.458333333333333</v>
      </c>
      <c r="F12" s="22">
        <v>0.5</v>
      </c>
      <c r="G12" s="23">
        <f t="shared" si="0"/>
        <v>2401.7</v>
      </c>
      <c r="H12" s="23">
        <v>1642</v>
      </c>
      <c r="I12" s="23">
        <v>77</v>
      </c>
      <c r="J12" s="24">
        <v>1565</v>
      </c>
      <c r="K12" s="25">
        <v>1</v>
      </c>
      <c r="L12" s="26">
        <v>0.4</v>
      </c>
      <c r="M12" s="27">
        <f t="shared" si="1"/>
        <v>0.6</v>
      </c>
      <c r="N12" s="28">
        <v>0.00029146021568056</v>
      </c>
      <c r="O12" s="29">
        <f t="shared" si="2"/>
        <v>3431</v>
      </c>
      <c r="P12" s="30">
        <f t="shared" si="3"/>
        <v>0.47857767414748</v>
      </c>
      <c r="Q12" s="30">
        <f t="shared" si="4"/>
        <v>0.456135237540076</v>
      </c>
      <c r="R12" s="31">
        <f t="shared" si="5"/>
        <v>0.6</v>
      </c>
      <c r="S12" s="31">
        <f t="shared" si="6"/>
        <v>0.797629456912466</v>
      </c>
      <c r="T12" s="31">
        <f t="shared" si="7"/>
        <v>0.953105968331302</v>
      </c>
      <c r="U12" s="31">
        <f t="shared" si="8"/>
        <v>0.456135237540076</v>
      </c>
      <c r="V12" s="32">
        <f t="shared" si="9"/>
        <v>0.683682391639256</v>
      </c>
    </row>
    <row r="13" s="4" customFormat="1" spans="1:22">
      <c r="A13" s="21">
        <v>46078</v>
      </c>
      <c r="B13" s="4" t="s">
        <v>66</v>
      </c>
      <c r="C13" s="4" t="s">
        <v>67</v>
      </c>
      <c r="D13" s="4" t="s">
        <v>59</v>
      </c>
      <c r="E13" s="22">
        <f t="shared" si="10"/>
        <v>0.5</v>
      </c>
      <c r="F13" s="22">
        <v>0.541666666666667</v>
      </c>
      <c r="G13" s="23">
        <f t="shared" si="0"/>
        <v>2480.1</v>
      </c>
      <c r="H13" s="23">
        <v>1596</v>
      </c>
      <c r="I13" s="23">
        <v>12</v>
      </c>
      <c r="J13" s="24">
        <v>1584</v>
      </c>
      <c r="K13" s="25">
        <v>1</v>
      </c>
      <c r="L13" s="26">
        <v>0.2</v>
      </c>
      <c r="M13" s="27">
        <f t="shared" si="1"/>
        <v>0.8</v>
      </c>
      <c r="N13" s="28">
        <v>0.000282246683601468</v>
      </c>
      <c r="O13" s="29">
        <f t="shared" si="2"/>
        <v>3543</v>
      </c>
      <c r="P13" s="30">
        <f t="shared" si="3"/>
        <v>0.450465707027943</v>
      </c>
      <c r="Q13" s="30">
        <f t="shared" si="4"/>
        <v>0.447078746824725</v>
      </c>
      <c r="R13" s="31">
        <f t="shared" si="5"/>
        <v>0.8</v>
      </c>
      <c r="S13" s="31">
        <f t="shared" si="6"/>
        <v>0.563082133784929</v>
      </c>
      <c r="T13" s="31">
        <f t="shared" si="7"/>
        <v>0.992481203007518</v>
      </c>
      <c r="U13" s="31">
        <f t="shared" si="8"/>
        <v>0.447078746824725</v>
      </c>
      <c r="V13" s="32">
        <f t="shared" si="9"/>
        <v>0.643522438611346</v>
      </c>
    </row>
    <row r="14" s="4" customFormat="1" spans="1:22">
      <c r="A14" s="21">
        <v>46078</v>
      </c>
      <c r="B14" s="4" t="s">
        <v>68</v>
      </c>
      <c r="C14" s="4" t="s">
        <v>67</v>
      </c>
      <c r="D14" s="4" t="s">
        <v>59</v>
      </c>
      <c r="E14" s="22">
        <f t="shared" si="10"/>
        <v>0.541666666666667</v>
      </c>
      <c r="F14" s="22">
        <v>0.583333333333333</v>
      </c>
      <c r="G14" s="23">
        <f t="shared" si="0"/>
        <v>2201.5</v>
      </c>
      <c r="H14" s="23">
        <v>1890</v>
      </c>
      <c r="I14" s="23">
        <v>34</v>
      </c>
      <c r="J14" s="24">
        <v>1856</v>
      </c>
      <c r="K14" s="25">
        <v>1</v>
      </c>
      <c r="L14" s="26">
        <v>0.3</v>
      </c>
      <c r="M14" s="27">
        <f t="shared" si="1"/>
        <v>0.7</v>
      </c>
      <c r="N14" s="28">
        <v>0.000317965023847377</v>
      </c>
      <c r="O14" s="29">
        <f t="shared" si="2"/>
        <v>3145</v>
      </c>
      <c r="P14" s="30">
        <f t="shared" si="3"/>
        <v>0.600953895071543</v>
      </c>
      <c r="Q14" s="30">
        <f t="shared" si="4"/>
        <v>0.590143084260732</v>
      </c>
      <c r="R14" s="31">
        <f t="shared" si="5"/>
        <v>0.7</v>
      </c>
      <c r="S14" s="31">
        <f t="shared" si="6"/>
        <v>0.858505564387918</v>
      </c>
      <c r="T14" s="31">
        <f t="shared" si="7"/>
        <v>0.982010582010583</v>
      </c>
      <c r="U14" s="31">
        <f t="shared" si="8"/>
        <v>0.590143084260732</v>
      </c>
      <c r="V14" s="32">
        <f t="shared" si="9"/>
        <v>0.858505564387917</v>
      </c>
    </row>
    <row r="15" s="4" customFormat="1" spans="1:22">
      <c r="A15" s="21">
        <v>46078</v>
      </c>
      <c r="B15" s="4" t="str">
        <f>B7</f>
        <v>NKD</v>
      </c>
      <c r="C15" s="4" t="s">
        <v>67</v>
      </c>
      <c r="D15" s="4" t="s">
        <v>69</v>
      </c>
      <c r="E15" s="22">
        <f t="shared" si="10"/>
        <v>0.583333333333333</v>
      </c>
      <c r="F15" s="22">
        <v>0.625</v>
      </c>
      <c r="G15" s="23">
        <f>$G$2*O15*K15</f>
        <v>2369.5</v>
      </c>
      <c r="H15" s="23">
        <v>1678</v>
      </c>
      <c r="I15" s="23">
        <v>57</v>
      </c>
      <c r="J15" s="24">
        <v>1621</v>
      </c>
      <c r="K15" s="25">
        <v>1</v>
      </c>
      <c r="L15" s="26">
        <v>0.15</v>
      </c>
      <c r="M15" s="27">
        <f t="shared" si="1"/>
        <v>0.85</v>
      </c>
      <c r="N15" s="28">
        <v>0.000295420974889217</v>
      </c>
      <c r="O15" s="29">
        <f t="shared" si="2"/>
        <v>3385</v>
      </c>
      <c r="P15" s="30">
        <f t="shared" si="3"/>
        <v>0.495716395864106</v>
      </c>
      <c r="Q15" s="30">
        <f t="shared" si="4"/>
        <v>0.478877400295421</v>
      </c>
      <c r="R15" s="31">
        <f t="shared" si="5"/>
        <v>0.85</v>
      </c>
      <c r="S15" s="31">
        <f t="shared" si="6"/>
        <v>0.583195759840125</v>
      </c>
      <c r="T15" s="31">
        <f t="shared" si="7"/>
        <v>0.966030989272944</v>
      </c>
      <c r="U15" s="31">
        <f t="shared" si="8"/>
        <v>0.478877400295421</v>
      </c>
      <c r="V15" s="32">
        <f t="shared" si="9"/>
        <v>0.708166279805866</v>
      </c>
    </row>
    <row r="16" s="4" customFormat="1" spans="1:22">
      <c r="A16" s="21">
        <v>46078</v>
      </c>
      <c r="B16" s="4" t="str">
        <f>B8</f>
        <v>CR4</v>
      </c>
      <c r="C16" s="4" t="s">
        <v>58</v>
      </c>
      <c r="D16" s="4" t="s">
        <v>69</v>
      </c>
      <c r="E16" s="22">
        <f t="shared" si="10"/>
        <v>0.625</v>
      </c>
      <c r="F16" s="22">
        <v>0.666666666666667</v>
      </c>
      <c r="G16" s="23">
        <f>$G$2*O16*K16</f>
        <v>2149</v>
      </c>
      <c r="H16" s="23">
        <v>1745</v>
      </c>
      <c r="I16" s="23">
        <v>67</v>
      </c>
      <c r="J16" s="24">
        <v>1678</v>
      </c>
      <c r="K16" s="25">
        <v>1</v>
      </c>
      <c r="L16" s="26">
        <v>0.25</v>
      </c>
      <c r="M16" s="27">
        <f t="shared" si="1"/>
        <v>0.75</v>
      </c>
      <c r="N16" s="28">
        <v>0.000325732899022801</v>
      </c>
      <c r="O16" s="29">
        <f t="shared" si="2"/>
        <v>3070</v>
      </c>
      <c r="P16" s="30">
        <f t="shared" si="3"/>
        <v>0.568403908794788</v>
      </c>
      <c r="Q16" s="30">
        <f t="shared" si="4"/>
        <v>0.54657980456026</v>
      </c>
      <c r="R16" s="31">
        <f t="shared" si="5"/>
        <v>0.75</v>
      </c>
      <c r="S16" s="31">
        <f t="shared" si="6"/>
        <v>0.75787187839305</v>
      </c>
      <c r="T16" s="31">
        <f t="shared" si="7"/>
        <v>0.961604584527221</v>
      </c>
      <c r="U16" s="31">
        <f t="shared" si="8"/>
        <v>0.54657980456026</v>
      </c>
      <c r="V16" s="32">
        <f t="shared" si="9"/>
        <v>0.812005583992555</v>
      </c>
    </row>
    <row r="17" s="4" customFormat="1" spans="1:22">
      <c r="A17" s="21">
        <v>46078</v>
      </c>
      <c r="B17" s="4" t="str">
        <f>B9</f>
        <v>DSS</v>
      </c>
      <c r="C17" s="4" t="s">
        <v>58</v>
      </c>
      <c r="D17" s="4" t="s">
        <v>69</v>
      </c>
      <c r="E17" s="22">
        <f t="shared" si="10"/>
        <v>0.666666666666667</v>
      </c>
      <c r="F17" s="22">
        <v>0.708333333333333</v>
      </c>
      <c r="G17" s="23">
        <f>$G$2*O17*K17</f>
        <v>2255.4</v>
      </c>
      <c r="H17" s="23">
        <v>1509</v>
      </c>
      <c r="I17" s="23">
        <v>54</v>
      </c>
      <c r="J17" s="24">
        <v>1455</v>
      </c>
      <c r="K17" s="25">
        <v>1</v>
      </c>
      <c r="L17" s="26">
        <v>0.22</v>
      </c>
      <c r="M17" s="27">
        <f t="shared" si="1"/>
        <v>0.78</v>
      </c>
      <c r="N17" s="28">
        <v>0.000310366232153942</v>
      </c>
      <c r="O17" s="29">
        <f t="shared" si="2"/>
        <v>3222</v>
      </c>
      <c r="P17" s="30">
        <f t="shared" si="3"/>
        <v>0.468342644320298</v>
      </c>
      <c r="Q17" s="30">
        <f t="shared" si="4"/>
        <v>0.451582867783986</v>
      </c>
      <c r="R17" s="31">
        <f t="shared" si="5"/>
        <v>0.78</v>
      </c>
      <c r="S17" s="31">
        <f t="shared" si="6"/>
        <v>0.600439287590126</v>
      </c>
      <c r="T17" s="31">
        <f t="shared" si="7"/>
        <v>0.964214711729623</v>
      </c>
      <c r="U17" s="31">
        <f t="shared" si="8"/>
        <v>0.451582867783986</v>
      </c>
      <c r="V17" s="32">
        <f t="shared" si="9"/>
        <v>0.669060920457569</v>
      </c>
    </row>
    <row r="18" s="4" customFormat="1" spans="1:22">
      <c r="A18" s="21">
        <v>46078</v>
      </c>
      <c r="B18" s="4" t="str">
        <f>B10</f>
        <v>SP</v>
      </c>
      <c r="C18" s="4" t="s">
        <v>58</v>
      </c>
      <c r="D18" s="4" t="s">
        <v>69</v>
      </c>
      <c r="E18" s="22">
        <f t="shared" si="10"/>
        <v>0.708333333333333</v>
      </c>
      <c r="F18" s="22">
        <v>0.75</v>
      </c>
      <c r="G18" s="23">
        <f>$G$2*O18*K18</f>
        <v>2181.2</v>
      </c>
      <c r="H18" s="23">
        <v>1518</v>
      </c>
      <c r="I18" s="23">
        <v>27</v>
      </c>
      <c r="J18" s="24">
        <v>1491</v>
      </c>
      <c r="K18" s="25">
        <v>1</v>
      </c>
      <c r="L18" s="26">
        <v>0.27</v>
      </c>
      <c r="M18" s="27">
        <f t="shared" si="1"/>
        <v>0.73</v>
      </c>
      <c r="N18" s="28">
        <v>0.000320924261874198</v>
      </c>
      <c r="O18" s="29">
        <f t="shared" si="2"/>
        <v>3116</v>
      </c>
      <c r="P18" s="30">
        <f t="shared" si="3"/>
        <v>0.487163029525033</v>
      </c>
      <c r="Q18" s="30">
        <f t="shared" si="4"/>
        <v>0.478498074454429</v>
      </c>
      <c r="R18" s="31">
        <f t="shared" si="5"/>
        <v>0.73</v>
      </c>
      <c r="S18" s="31">
        <f t="shared" si="6"/>
        <v>0.667346615787716</v>
      </c>
      <c r="T18" s="31">
        <f t="shared" si="7"/>
        <v>0.982213438735177</v>
      </c>
      <c r="U18" s="31">
        <f t="shared" si="8"/>
        <v>0.478498074454429</v>
      </c>
      <c r="V18" s="32">
        <f t="shared" si="9"/>
        <v>0.69594718503576</v>
      </c>
    </row>
    <row r="19" s="4" customFormat="1" spans="1:22">
      <c r="A19" s="21">
        <v>46078</v>
      </c>
      <c r="B19" s="4" t="str">
        <f>B11</f>
        <v>CHR</v>
      </c>
      <c r="C19" s="4" t="s">
        <v>58</v>
      </c>
      <c r="D19" s="4" t="s">
        <v>69</v>
      </c>
      <c r="E19" s="22">
        <f t="shared" si="10"/>
        <v>0.75</v>
      </c>
      <c r="F19" s="22">
        <v>0.791666666666667</v>
      </c>
      <c r="G19" s="23">
        <f>$G$2*O19*K19</f>
        <v>2770.6</v>
      </c>
      <c r="H19" s="23">
        <v>1763</v>
      </c>
      <c r="I19" s="23">
        <v>91</v>
      </c>
      <c r="J19" s="24">
        <v>1672</v>
      </c>
      <c r="K19" s="25">
        <v>1</v>
      </c>
      <c r="L19" s="26">
        <v>0.4</v>
      </c>
      <c r="M19" s="27">
        <f t="shared" si="1"/>
        <v>0.6</v>
      </c>
      <c r="N19" s="28">
        <v>0.000252652854977261</v>
      </c>
      <c r="O19" s="29">
        <f t="shared" si="2"/>
        <v>3958</v>
      </c>
      <c r="P19" s="30">
        <f t="shared" si="3"/>
        <v>0.445426983324911</v>
      </c>
      <c r="Q19" s="30">
        <f t="shared" si="4"/>
        <v>0.42243557352198</v>
      </c>
      <c r="R19" s="31">
        <f t="shared" si="5"/>
        <v>0.6</v>
      </c>
      <c r="S19" s="31">
        <f t="shared" si="6"/>
        <v>0.742378305541519</v>
      </c>
      <c r="T19" s="31">
        <f t="shared" si="7"/>
        <v>0.948383437322744</v>
      </c>
      <c r="U19" s="31">
        <f t="shared" si="8"/>
        <v>0.42243557352198</v>
      </c>
      <c r="V19" s="32">
        <f t="shared" si="9"/>
        <v>0.636324261892731</v>
      </c>
    </row>
    <row r="20" s="4" customFormat="1" spans="1:22">
      <c r="A20" s="21"/>
      <c r="E20" s="22"/>
      <c r="F20" s="22"/>
      <c r="G20" s="29"/>
      <c r="H20" s="29"/>
      <c r="I20" s="29"/>
      <c r="J20" s="29"/>
      <c r="K20" s="33"/>
      <c r="L20" s="34"/>
      <c r="M20" s="34"/>
      <c r="N20" s="35"/>
      <c r="O20" s="29"/>
      <c r="P20" s="35"/>
      <c r="Q20" s="35"/>
      <c r="R20" s="36"/>
      <c r="S20" s="36"/>
      <c r="T20" s="36"/>
      <c r="U20" s="36"/>
      <c r="V20" s="37"/>
    </row>
    <row r="21" s="4" customFormat="1" ht="16.3" spans="1:22">
      <c r="A21" s="21"/>
      <c r="E21" s="22"/>
      <c r="F21" s="22"/>
      <c r="G21" s="38">
        <f>SUM(G7:G19)</f>
        <v>30625</v>
      </c>
      <c r="H21" s="38">
        <f t="shared" ref="H21:N21" si="11">SUM(H7:H19)</f>
        <v>21698</v>
      </c>
      <c r="I21" s="38">
        <f t="shared" si="11"/>
        <v>733</v>
      </c>
      <c r="J21" s="38">
        <f t="shared" si="11"/>
        <v>20965</v>
      </c>
      <c r="K21" s="39">
        <f t="shared" si="11"/>
        <v>13</v>
      </c>
      <c r="L21" s="40">
        <f t="shared" si="11"/>
        <v>3.73</v>
      </c>
      <c r="M21" s="40">
        <f t="shared" si="11"/>
        <v>9.27</v>
      </c>
      <c r="N21" s="41">
        <f t="shared" si="11"/>
        <v>0.00389102137586216</v>
      </c>
      <c r="O21" s="38"/>
      <c r="P21" s="41">
        <f>SUM(P7:P19)</f>
        <v>6.48008446263769</v>
      </c>
      <c r="Q21" s="41">
        <f>SUM(Q7:Q19)</f>
        <v>6.26293698874817</v>
      </c>
      <c r="R21" s="42">
        <f>IFERROR(M21/K21," ")</f>
        <v>0.713076923076923</v>
      </c>
      <c r="S21" s="42">
        <f>IFERROR(P21/M21," ")</f>
        <v>0.699038237609244</v>
      </c>
      <c r="T21" s="42">
        <f>IFERROR(Q21/P21," ")</f>
        <v>0.966490024143738</v>
      </c>
      <c r="U21" s="42">
        <f>IFERROR(Q21/K21," ")</f>
        <v>0.481764383749859</v>
      </c>
      <c r="V21" s="43">
        <f>H21/G21</f>
        <v>0.70850612244898</v>
      </c>
    </row>
    <row r="22" spans="1:22">
      <c r="L22" s="44"/>
      <c r="Q22" s="45"/>
    </row>
    <row r="23" spans="1:22">
      <c r="L23" s="44"/>
    </row>
    <row r="24" spans="1:22">
      <c r="L24" s="44"/>
    </row>
    <row r="25" spans="1:22">
      <c r="L25" s="44"/>
    </row>
  </sheetData>
  <pageMargins left="0.7" right="0.7" top="0.75" bottom="0.75" header="0.3" footer="0.3"/>
  <headerFooter/>
  <legacy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EA376EBF-4FC8-4A7F-BA92-CE426172FD40}">
  <ds:schemaRefs/>
</ds:datastoreItem>
</file>

<file path=customXml/itemProps2.xml><?xml version="1.0" encoding="utf-8"?>
<ds:datastoreItem xmlns:ds="http://schemas.openxmlformats.org/officeDocument/2006/customXml" ds:itemID="{4D8D4126-B2DE-46CE-A9AB-1EB38292E0F1}">
  <ds:schemaRefs/>
</ds:datastoreItem>
</file>

<file path=customXml/itemProps3.xml><?xml version="1.0" encoding="utf-8"?>
<ds:datastoreItem xmlns:ds="http://schemas.openxmlformats.org/officeDocument/2006/customXml" ds:itemID="{1718A149-EEA7-4B7D-A42F-4DD36DA2A06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Por hora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Velasco</dc:creator>
  <cp:lastModifiedBy>onate</cp:lastModifiedBy>
  <dcterms:created xsi:type="dcterms:W3CDTF">2026-03-05T20:29:00Z</dcterms:created>
  <dcterms:modified xsi:type="dcterms:W3CDTF">2026-04-17T17:27:34Z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0x010100DB7EC8E2AA6F7044BFCE3E7D0203CFA0</vt:lpwstr>
  </property>
  <property fmtid="{D5CDD505-2E9C-101B-9397-08002B2CF9AE}" pid="3" name="MediaServiceImageTags">
    <vt:lpwstr/>
  </property>
  <property fmtid="{D5CDD505-2E9C-101B-9397-08002B2CF9AE}" pid="4" name="ICV">
    <vt:lpwstr>4EEF80BC9EAF485A903304E726CF5895_12</vt:lpwstr>
  </property>
  <property fmtid="{D5CDD505-2E9C-101B-9397-08002B2CF9AE}" pid="5" name="KSOProductBuildVer">
    <vt:lpwstr>2058-12.1.0.25830</vt:lpwstr>
  </property>
  <property fmtid="{D5CDD505-2E9C-101B-9397-08002B2CF9AE}" pid="6" name="CalculationRule">
    <vt:i4>0</vt:i4>
  </property>
</Properties>
</file>